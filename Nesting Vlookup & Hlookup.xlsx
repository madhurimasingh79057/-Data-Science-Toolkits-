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ima singh\Desktop\"/>
    </mc:Choice>
  </mc:AlternateContent>
  <xr:revisionPtr revIDLastSave="0" documentId="8_{4F950D80-AA6C-432C-8C08-AFDB7E79997F}" xr6:coauthVersionLast="47" xr6:coauthVersionMax="47" xr10:uidLastSave="{00000000-0000-0000-0000-000000000000}"/>
  <bookViews>
    <workbookView xWindow="-108" yWindow="-108" windowWidth="23256" windowHeight="12456" activeTab="1" xr2:uid="{BA37CF2F-B01A-4AB6-BD1F-2A173B126C22}"/>
  </bookViews>
  <sheets>
    <sheet name="VLOOKUP" sheetId="1" r:id="rId1"/>
    <sheet name=" 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17" i="2"/>
  <c r="D26" i="2"/>
  <c r="C26" i="2"/>
  <c r="B26" i="2"/>
  <c r="I21" i="1"/>
  <c r="J19" i="2"/>
  <c r="I19" i="2"/>
  <c r="H19" i="2"/>
  <c r="D22" i="2"/>
  <c r="C22" i="2"/>
  <c r="B22" i="2"/>
  <c r="D17" i="2"/>
  <c r="C17" i="2"/>
  <c r="B17" i="2"/>
  <c r="I23" i="1"/>
  <c r="I22" i="1"/>
  <c r="C25" i="1"/>
  <c r="C17" i="1"/>
  <c r="C16" i="1"/>
  <c r="J16" i="1"/>
  <c r="J15" i="1"/>
  <c r="J14" i="1"/>
  <c r="C23" i="1"/>
  <c r="C24" i="1"/>
  <c r="C15" i="1"/>
</calcChain>
</file>

<file path=xl/sharedStrings.xml><?xml version="1.0" encoding="utf-8"?>
<sst xmlns="http://schemas.openxmlformats.org/spreadsheetml/2006/main" count="182" uniqueCount="54">
  <si>
    <t>Name</t>
  </si>
  <si>
    <t>Department_ID</t>
  </si>
  <si>
    <t>Class_Teacher</t>
  </si>
  <si>
    <t>Riya Sharma</t>
  </si>
  <si>
    <t>D01</t>
  </si>
  <si>
    <t>Mr. Mehta</t>
  </si>
  <si>
    <t>Aarav Patel</t>
  </si>
  <si>
    <t>D02</t>
  </si>
  <si>
    <t>Ms. Kapoor</t>
  </si>
  <si>
    <t>Neha Singh</t>
  </si>
  <si>
    <t>D03</t>
  </si>
  <si>
    <t>Mr. Iyer</t>
  </si>
  <si>
    <t>Karan Verma</t>
  </si>
  <si>
    <t>Tanya Das</t>
  </si>
  <si>
    <t>D04</t>
  </si>
  <si>
    <t>Ms. Roy</t>
  </si>
  <si>
    <t>Dr. S. Nair</t>
  </si>
  <si>
    <t>Dr. A. Khanna</t>
  </si>
  <si>
    <t>Dr. P. Gupta</t>
  </si>
  <si>
    <t>Dr. R. Bansal</t>
  </si>
  <si>
    <t>HOD_Name</t>
  </si>
  <si>
    <t>Department_Name</t>
  </si>
  <si>
    <t>Major_Subject</t>
  </si>
  <si>
    <t>Computer Science</t>
  </si>
  <si>
    <t>Data Structures</t>
  </si>
  <si>
    <t>Mechanical Engg.</t>
  </si>
  <si>
    <t>Thermodynamics</t>
  </si>
  <si>
    <t>Electronics Engg.</t>
  </si>
  <si>
    <t>Digital Circuits</t>
  </si>
  <si>
    <t>Civil Engg.</t>
  </si>
  <si>
    <t>Structural Design</t>
  </si>
  <si>
    <t>Credit</t>
  </si>
  <si>
    <t>Duration_of_Course</t>
  </si>
  <si>
    <t>6 months</t>
  </si>
  <si>
    <t>Table 1: Student_Information</t>
  </si>
  <si>
    <t>Table 2: Department_Information</t>
  </si>
  <si>
    <t>Table 3: HOD_Details</t>
  </si>
  <si>
    <t xml:space="preserve">           Table 4  :   Subject_details</t>
  </si>
  <si>
    <t>D05</t>
  </si>
  <si>
    <t>Dr. Meera Verma</t>
  </si>
  <si>
    <t>English Literature</t>
  </si>
  <si>
    <t>Poetry and Drama</t>
  </si>
  <si>
    <t>8 Months</t>
  </si>
  <si>
    <t>Q1.(i) Prepare a VLOOKUP and find the total duration of student engaged in class to pass their respective class.</t>
  </si>
  <si>
    <t>VLOOKUP</t>
  </si>
  <si>
    <t>5 years</t>
  </si>
  <si>
    <t xml:space="preserve"> 8 Months</t>
  </si>
  <si>
    <t>4  years</t>
  </si>
  <si>
    <t>Q1.(ii) Using name of student find the HOD.</t>
  </si>
  <si>
    <t>Q1.(iii) Using department id find the major subject.</t>
  </si>
  <si>
    <t>Q1.(iv) Using name of department find the credit.</t>
  </si>
  <si>
    <t>Hlookup</t>
  </si>
  <si>
    <t>Table 2: Depar_Information</t>
  </si>
  <si>
    <t xml:space="preserve">           Table 4 : Subject_details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</si>
</sst>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lgerian"/>
      <family val="5"/>
    </font>
    <font>
      <b/>
      <sz val="16"/>
      <color theme="1"/>
      <name val="Arial Rounded MT Bold"/>
      <family val="2"/>
    </font>
    <font>
      <b/>
      <sz val="11"/>
      <color theme="1"/>
      <name val="Algerian"/>
      <family val="5"/>
    </font>
    <font>
      <b/>
      <sz val="12"/>
      <color theme="1"/>
      <name val="Arial Black"/>
      <family val="2"/>
    </font>
    <font>
      <sz val="11"/>
      <color theme="1"/>
      <name val="Bahnschrift SemiBold SemiConden"/>
      <family val="2"/>
    </font>
    <font>
      <b/>
      <sz val="18"/>
      <color rgb="FFFF0000"/>
      <name val="Algerian"/>
      <family val="5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</cellXfs>
  <cellStyles count="3">
    <cellStyle name="40% - Accent3" xfId="1" builtinId="39"/>
    <cellStyle name="60% - Accent4" xfId="2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17B4-03AA-4A83-862C-ED5A0F31132E}">
  <dimension ref="A1:N31"/>
  <sheetViews>
    <sheetView zoomScale="58" zoomScaleNormal="95" workbookViewId="0">
      <selection activeCell="E21" sqref="E21"/>
    </sheetView>
  </sheetViews>
  <sheetFormatPr defaultRowHeight="14.4" x14ac:dyDescent="0.3"/>
  <cols>
    <col min="1" max="1" width="14.33203125" customWidth="1"/>
    <col min="2" max="2" width="19.77734375" customWidth="1"/>
    <col min="3" max="3" width="24.21875" bestFit="1" customWidth="1"/>
    <col min="4" max="4" width="21.5546875" customWidth="1"/>
    <col min="5" max="5" width="26.5546875" customWidth="1"/>
    <col min="6" max="6" width="24.6640625" customWidth="1"/>
    <col min="7" max="7" width="18.88671875" customWidth="1"/>
    <col min="8" max="8" width="23.33203125" bestFit="1" customWidth="1"/>
    <col min="9" max="9" width="24" bestFit="1" customWidth="1"/>
    <col min="10" max="10" width="20" customWidth="1"/>
    <col min="11" max="11" width="23.33203125" bestFit="1" customWidth="1"/>
    <col min="12" max="12" width="20.21875" bestFit="1" customWidth="1"/>
    <col min="13" max="13" width="18.109375" customWidth="1"/>
    <col min="14" max="14" width="26.77734375" customWidth="1"/>
    <col min="15" max="17" width="8.88671875" customWidth="1"/>
    <col min="18" max="18" width="16.88671875" customWidth="1"/>
    <col min="19" max="19" width="13.44140625" customWidth="1"/>
    <col min="20" max="20" width="19.5546875" customWidth="1"/>
  </cols>
  <sheetData>
    <row r="1" spans="1:14" ht="19.8" customHeight="1" x14ac:dyDescent="0.3">
      <c r="A1" s="11" t="s">
        <v>34</v>
      </c>
      <c r="B1" s="11"/>
      <c r="C1" s="11"/>
      <c r="E1" s="11" t="s">
        <v>52</v>
      </c>
      <c r="F1" s="11"/>
      <c r="H1" s="12" t="s">
        <v>36</v>
      </c>
      <c r="I1" s="13"/>
      <c r="J1" s="14"/>
      <c r="L1" s="12" t="s">
        <v>53</v>
      </c>
      <c r="M1" s="13"/>
      <c r="N1" s="14"/>
    </row>
    <row r="2" spans="1:14" ht="19.8" customHeight="1" x14ac:dyDescent="0.3">
      <c r="A2" s="11"/>
      <c r="B2" s="11"/>
      <c r="C2" s="11"/>
      <c r="E2" s="11"/>
      <c r="F2" s="11"/>
      <c r="H2" s="15"/>
      <c r="I2" s="16"/>
      <c r="J2" s="17"/>
      <c r="L2" s="15"/>
      <c r="M2" s="16"/>
      <c r="N2" s="17"/>
    </row>
    <row r="3" spans="1:14" ht="24.6" customHeight="1" x14ac:dyDescent="0.3">
      <c r="A3" s="4" t="s">
        <v>0</v>
      </c>
      <c r="B3" s="4" t="s">
        <v>1</v>
      </c>
      <c r="C3" s="4" t="s">
        <v>2</v>
      </c>
      <c r="E3" s="4" t="s">
        <v>1</v>
      </c>
      <c r="F3" s="4" t="s">
        <v>20</v>
      </c>
      <c r="H3" s="4" t="s">
        <v>20</v>
      </c>
      <c r="I3" s="4" t="s">
        <v>21</v>
      </c>
      <c r="J3" s="4" t="s">
        <v>22</v>
      </c>
      <c r="L3" s="4" t="s">
        <v>22</v>
      </c>
      <c r="M3" s="4" t="s">
        <v>31</v>
      </c>
      <c r="N3" s="4" t="s">
        <v>32</v>
      </c>
    </row>
    <row r="4" spans="1:14" ht="21" customHeight="1" x14ac:dyDescent="0.3">
      <c r="A4" s="5" t="s">
        <v>3</v>
      </c>
      <c r="B4" s="5" t="s">
        <v>4</v>
      </c>
      <c r="C4" s="5" t="s">
        <v>5</v>
      </c>
      <c r="E4" s="5" t="s">
        <v>4</v>
      </c>
      <c r="F4" s="5" t="s">
        <v>16</v>
      </c>
      <c r="H4" s="5" t="s">
        <v>16</v>
      </c>
      <c r="I4" s="5" t="s">
        <v>23</v>
      </c>
      <c r="J4" s="5" t="s">
        <v>24</v>
      </c>
      <c r="L4" s="6" t="s">
        <v>24</v>
      </c>
      <c r="M4" s="6">
        <v>4</v>
      </c>
      <c r="N4" s="6" t="s">
        <v>33</v>
      </c>
    </row>
    <row r="5" spans="1:14" ht="20.399999999999999" customHeight="1" x14ac:dyDescent="0.3">
      <c r="A5" s="5" t="s">
        <v>6</v>
      </c>
      <c r="B5" s="5" t="s">
        <v>7</v>
      </c>
      <c r="C5" s="5" t="s">
        <v>8</v>
      </c>
      <c r="E5" s="5" t="s">
        <v>7</v>
      </c>
      <c r="F5" s="5" t="s">
        <v>17</v>
      </c>
      <c r="H5" s="5" t="s">
        <v>17</v>
      </c>
      <c r="I5" s="5" t="s">
        <v>25</v>
      </c>
      <c r="J5" s="5" t="s">
        <v>26</v>
      </c>
      <c r="L5" s="6" t="s">
        <v>26</v>
      </c>
      <c r="M5" s="6">
        <v>5</v>
      </c>
      <c r="N5" s="6" t="s">
        <v>47</v>
      </c>
    </row>
    <row r="6" spans="1:14" ht="20.399999999999999" customHeight="1" x14ac:dyDescent="0.3">
      <c r="A6" s="5" t="s">
        <v>9</v>
      </c>
      <c r="B6" s="5" t="s">
        <v>10</v>
      </c>
      <c r="C6" s="5" t="s">
        <v>11</v>
      </c>
      <c r="E6" s="5" t="s">
        <v>10</v>
      </c>
      <c r="F6" s="5" t="s">
        <v>18</v>
      </c>
      <c r="H6" s="5" t="s">
        <v>18</v>
      </c>
      <c r="I6" s="5" t="s">
        <v>27</v>
      </c>
      <c r="J6" s="5" t="s">
        <v>28</v>
      </c>
      <c r="L6" s="6" t="s">
        <v>28</v>
      </c>
      <c r="M6" s="6">
        <v>6</v>
      </c>
      <c r="N6" s="6" t="s">
        <v>33</v>
      </c>
    </row>
    <row r="7" spans="1:14" ht="20.399999999999999" customHeight="1" x14ac:dyDescent="0.3">
      <c r="A7" s="5" t="s">
        <v>12</v>
      </c>
      <c r="B7" s="5" t="s">
        <v>14</v>
      </c>
      <c r="C7" s="5" t="s">
        <v>5</v>
      </c>
      <c r="E7" s="5" t="s">
        <v>14</v>
      </c>
      <c r="F7" s="5" t="s">
        <v>19</v>
      </c>
      <c r="H7" s="5" t="s">
        <v>19</v>
      </c>
      <c r="I7" s="5" t="s">
        <v>29</v>
      </c>
      <c r="J7" s="5" t="s">
        <v>30</v>
      </c>
      <c r="L7" s="6" t="s">
        <v>30</v>
      </c>
      <c r="M7" s="6">
        <v>8</v>
      </c>
      <c r="N7" s="6" t="s">
        <v>45</v>
      </c>
    </row>
    <row r="8" spans="1:14" ht="20.399999999999999" customHeight="1" x14ac:dyDescent="0.3">
      <c r="A8" s="5" t="s">
        <v>13</v>
      </c>
      <c r="B8" s="5" t="s">
        <v>38</v>
      </c>
      <c r="C8" s="5" t="s">
        <v>15</v>
      </c>
      <c r="E8" s="5" t="s">
        <v>38</v>
      </c>
      <c r="F8" s="5" t="s">
        <v>39</v>
      </c>
      <c r="H8" s="5" t="s">
        <v>39</v>
      </c>
      <c r="I8" s="5" t="s">
        <v>40</v>
      </c>
      <c r="J8" s="5" t="s">
        <v>41</v>
      </c>
      <c r="L8" s="6" t="s">
        <v>41</v>
      </c>
      <c r="M8" s="6">
        <v>9</v>
      </c>
      <c r="N8" s="6" t="s">
        <v>46</v>
      </c>
    </row>
    <row r="9" spans="1:14" ht="20.399999999999999" customHeight="1" x14ac:dyDescent="0.3"/>
    <row r="10" spans="1:14" ht="20.399999999999999" customHeight="1" x14ac:dyDescent="0.3">
      <c r="A10" s="19" t="s">
        <v>44</v>
      </c>
      <c r="B10" s="19"/>
      <c r="C10" s="19"/>
      <c r="D10" s="19"/>
    </row>
    <row r="12" spans="1:14" ht="22.2" customHeight="1" x14ac:dyDescent="0.3">
      <c r="H12" s="18" t="s">
        <v>49</v>
      </c>
      <c r="I12" s="18"/>
      <c r="J12" s="18"/>
      <c r="K12" s="18"/>
    </row>
    <row r="13" spans="1:14" ht="21" customHeight="1" x14ac:dyDescent="0.3">
      <c r="A13" s="20" t="s">
        <v>43</v>
      </c>
      <c r="B13" s="21"/>
      <c r="C13" s="21"/>
      <c r="D13" s="21"/>
      <c r="E13" s="21"/>
      <c r="F13" s="22"/>
      <c r="I13" s="4" t="s">
        <v>1</v>
      </c>
      <c r="J13" s="4" t="s">
        <v>22</v>
      </c>
    </row>
    <row r="14" spans="1:14" ht="20.399999999999999" customHeight="1" x14ac:dyDescent="0.3">
      <c r="A14" s="1"/>
      <c r="B14" s="4" t="s">
        <v>0</v>
      </c>
      <c r="C14" s="4" t="s">
        <v>32</v>
      </c>
      <c r="I14" s="5" t="s">
        <v>4</v>
      </c>
      <c r="J14" s="5" t="str">
        <f>VLOOKUP(VLOOKUP(I14,E3:F8,2,0),H3:J8,3,0)</f>
        <v>Data Structures</v>
      </c>
    </row>
    <row r="15" spans="1:14" ht="21.6" customHeight="1" x14ac:dyDescent="0.3">
      <c r="B15" s="5" t="s">
        <v>3</v>
      </c>
      <c r="C15" s="5" t="str">
        <f>VLOOKUP(VLOOKUP(VLOOKUP(VLOOKUP(B15,A3:C8,2,0),E3:F8,2,0),H3:J8,3,0),L3:N8,3,0)</f>
        <v>6 months</v>
      </c>
      <c r="I15" s="5" t="s">
        <v>7</v>
      </c>
      <c r="J15" s="5" t="str">
        <f>VLOOKUP(VLOOKUP(I15,E3:F8,2,0),H3:J8,3,0)</f>
        <v>Thermodynamics</v>
      </c>
    </row>
    <row r="16" spans="1:14" ht="21" customHeight="1" x14ac:dyDescent="0.3">
      <c r="B16" s="5" t="s">
        <v>12</v>
      </c>
      <c r="C16" s="5" t="str">
        <f>VLOOKUP(VLOOKUP(VLOOKUP(VLOOKUP(B16,A3:C8,2,0),E3:F8,2,0),H3:J8,3,0),L3:N8,3,0)</f>
        <v>5 years</v>
      </c>
      <c r="I16" s="5" t="s">
        <v>10</v>
      </c>
      <c r="J16" s="5" t="str">
        <f>VLOOKUP(VLOOKUP(I16,E3:F8,2,0),H3:J8,3,0)</f>
        <v>Digital Circuits</v>
      </c>
    </row>
    <row r="17" spans="1:10" ht="21.6" customHeight="1" x14ac:dyDescent="0.3">
      <c r="B17" s="5" t="s">
        <v>9</v>
      </c>
      <c r="C17" s="5" t="str">
        <f>VLOOKUP(VLOOKUP(VLOOKUP(VLOOKUP(B17,A3:C8,2,0),E3:F8,2,0),H3:J8,3,0),L3:N8,3,0)</f>
        <v>6 months</v>
      </c>
    </row>
    <row r="18" spans="1:10" ht="20.399999999999999" customHeight="1" x14ac:dyDescent="0.3"/>
    <row r="19" spans="1:10" ht="21.6" customHeight="1" x14ac:dyDescent="0.3">
      <c r="G19" s="18" t="s">
        <v>50</v>
      </c>
      <c r="H19" s="18"/>
      <c r="I19" s="18"/>
      <c r="J19" s="18"/>
    </row>
    <row r="20" spans="1:10" ht="21" customHeight="1" x14ac:dyDescent="0.3">
      <c r="H20" s="4" t="s">
        <v>21</v>
      </c>
      <c r="I20" s="4" t="s">
        <v>31</v>
      </c>
    </row>
    <row r="21" spans="1:10" ht="21" customHeight="1" x14ac:dyDescent="0.3">
      <c r="A21" s="18" t="s">
        <v>48</v>
      </c>
      <c r="B21" s="18"/>
      <c r="C21" s="18"/>
      <c r="D21" s="18"/>
      <c r="H21" s="5" t="s">
        <v>23</v>
      </c>
      <c r="I21" s="7">
        <f>VLOOKUP(VLOOKUP(H21,I3:J8,2,0),L3:N8,2,0)</f>
        <v>4</v>
      </c>
    </row>
    <row r="22" spans="1:10" ht="21" customHeight="1" x14ac:dyDescent="0.3">
      <c r="B22" s="4" t="s">
        <v>0</v>
      </c>
      <c r="C22" s="4" t="s">
        <v>20</v>
      </c>
      <c r="H22" s="5" t="s">
        <v>25</v>
      </c>
      <c r="I22" s="7">
        <f>VLOOKUP(VLOOKUP(H22,I3:J8,2,0),L3:N8,2,0)</f>
        <v>5</v>
      </c>
    </row>
    <row r="23" spans="1:10" ht="18" customHeight="1" x14ac:dyDescent="0.3">
      <c r="B23" s="5" t="s">
        <v>6</v>
      </c>
      <c r="C23" s="5" t="str">
        <f>VLOOKUP(VLOOKUP(B23,A3:C8,2,0),E3:F8,2,0)</f>
        <v>Dr. A. Khanna</v>
      </c>
      <c r="H23" s="5" t="s">
        <v>29</v>
      </c>
      <c r="I23" s="7">
        <f>VLOOKUP(VLOOKUP(H23,I3:J8,2,0),L3:N8,2,0)</f>
        <v>8</v>
      </c>
    </row>
    <row r="24" spans="1:10" ht="19.2" customHeight="1" x14ac:dyDescent="0.3">
      <c r="B24" s="5" t="s">
        <v>13</v>
      </c>
      <c r="C24" s="5" t="str">
        <f>VLOOKUP(VLOOKUP(B24,A3:C8,2,0),E3:F8,2,0)</f>
        <v>Dr. Meera Verma</v>
      </c>
    </row>
    <row r="25" spans="1:10" x14ac:dyDescent="0.3">
      <c r="B25" s="5" t="s">
        <v>9</v>
      </c>
      <c r="C25" s="5" t="str">
        <f>VLOOKUP(VLOOKUP(B25,A3:C8,2,0),E3:F8,2,0)</f>
        <v>Dr. P. Gupta</v>
      </c>
    </row>
    <row r="26" spans="1:10" ht="21.6" customHeight="1" x14ac:dyDescent="0.3"/>
    <row r="27" spans="1:10" ht="21" customHeight="1" x14ac:dyDescent="0.3"/>
    <row r="28" spans="1:10" ht="20.399999999999999" customHeight="1" x14ac:dyDescent="0.3"/>
    <row r="29" spans="1:10" ht="20.399999999999999" customHeight="1" x14ac:dyDescent="0.3"/>
    <row r="30" spans="1:10" ht="21.6" customHeight="1" x14ac:dyDescent="0.3"/>
    <row r="31" spans="1:10" ht="19.8" customHeight="1" x14ac:dyDescent="0.3"/>
  </sheetData>
  <mergeCells count="9">
    <mergeCell ref="A21:D21"/>
    <mergeCell ref="A10:D10"/>
    <mergeCell ref="A13:F13"/>
    <mergeCell ref="E1:F2"/>
    <mergeCell ref="H1:J2"/>
    <mergeCell ref="L1:N2"/>
    <mergeCell ref="A1:C2"/>
    <mergeCell ref="G19:J19"/>
    <mergeCell ref="H12:K12"/>
  </mergeCells>
  <conditionalFormatting sqref="A4:A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C8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C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C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F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J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J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F515-9A1D-4717-A0F6-A0EC9816A19B}">
  <dimension ref="A1:M28"/>
  <sheetViews>
    <sheetView tabSelected="1" zoomScale="95" zoomScaleNormal="102" workbookViewId="0">
      <selection activeCell="F23" sqref="F23"/>
    </sheetView>
  </sheetViews>
  <sheetFormatPr defaultRowHeight="14.4" x14ac:dyDescent="0.3"/>
  <cols>
    <col min="1" max="2" width="18.88671875" customWidth="1"/>
    <col min="3" max="3" width="16.88671875" bestFit="1" customWidth="1"/>
    <col min="4" max="4" width="16.33203125" customWidth="1"/>
    <col min="5" max="5" width="16" customWidth="1"/>
    <col min="6" max="6" width="18.88671875" customWidth="1"/>
    <col min="7" max="7" width="19" customWidth="1"/>
    <col min="8" max="9" width="20.33203125" customWidth="1"/>
    <col min="10" max="10" width="17.33203125" customWidth="1"/>
    <col min="11" max="11" width="19.77734375" customWidth="1"/>
    <col min="12" max="12" width="18.88671875" customWidth="1"/>
    <col min="13" max="13" width="17.6640625" customWidth="1"/>
    <col min="15" max="15" width="18.44140625" bestFit="1" customWidth="1"/>
    <col min="16" max="16" width="17.21875" bestFit="1" customWidth="1"/>
    <col min="17" max="17" width="16.21875" bestFit="1" customWidth="1"/>
    <col min="18" max="19" width="16.109375" bestFit="1" customWidth="1"/>
    <col min="20" max="20" width="16.44140625" bestFit="1" customWidth="1"/>
    <col min="21" max="21" width="17.21875" bestFit="1" customWidth="1"/>
    <col min="22" max="22" width="21.88671875" bestFit="1" customWidth="1"/>
    <col min="23" max="24" width="21.77734375" bestFit="1" customWidth="1"/>
    <col min="25" max="25" width="17" bestFit="1" customWidth="1"/>
  </cols>
  <sheetData>
    <row r="1" spans="1:13" ht="14.4" customHeight="1" x14ac:dyDescent="0.3">
      <c r="A1" s="40" t="s">
        <v>34</v>
      </c>
      <c r="B1" s="40"/>
      <c r="C1" s="40"/>
      <c r="D1" s="40"/>
      <c r="E1" s="40"/>
      <c r="F1" s="40"/>
      <c r="H1" s="24" t="s">
        <v>36</v>
      </c>
      <c r="I1" s="25"/>
      <c r="J1" s="25"/>
      <c r="K1" s="25"/>
      <c r="L1" s="25"/>
      <c r="M1" s="26"/>
    </row>
    <row r="2" spans="1:13" ht="14.4" customHeight="1" x14ac:dyDescent="0.3">
      <c r="A2" s="40"/>
      <c r="B2" s="40"/>
      <c r="C2" s="40"/>
      <c r="D2" s="40"/>
      <c r="E2" s="40"/>
      <c r="F2" s="40"/>
      <c r="H2" s="27"/>
      <c r="I2" s="28"/>
      <c r="J2" s="28"/>
      <c r="K2" s="28"/>
      <c r="L2" s="28"/>
      <c r="M2" s="29"/>
    </row>
    <row r="3" spans="1:13" ht="21.6" customHeight="1" x14ac:dyDescent="0.3">
      <c r="A3" s="3" t="s">
        <v>0</v>
      </c>
      <c r="B3" s="2" t="s">
        <v>3</v>
      </c>
      <c r="C3" s="2" t="s">
        <v>6</v>
      </c>
      <c r="D3" s="2" t="s">
        <v>9</v>
      </c>
      <c r="E3" s="2" t="s">
        <v>12</v>
      </c>
      <c r="F3" s="2" t="s">
        <v>13</v>
      </c>
      <c r="H3" s="3" t="s">
        <v>20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39</v>
      </c>
    </row>
    <row r="4" spans="1:13" ht="22.2" customHeight="1" x14ac:dyDescent="0.3">
      <c r="A4" s="3" t="s">
        <v>1</v>
      </c>
      <c r="B4" s="2" t="s">
        <v>4</v>
      </c>
      <c r="C4" s="2" t="s">
        <v>7</v>
      </c>
      <c r="D4" s="2" t="s">
        <v>10</v>
      </c>
      <c r="E4" s="2" t="s">
        <v>14</v>
      </c>
      <c r="F4" s="2" t="s">
        <v>38</v>
      </c>
      <c r="H4" s="3" t="s">
        <v>21</v>
      </c>
      <c r="I4" s="2" t="s">
        <v>23</v>
      </c>
      <c r="J4" s="2" t="s">
        <v>25</v>
      </c>
      <c r="K4" s="2" t="s">
        <v>27</v>
      </c>
      <c r="L4" s="2" t="s">
        <v>29</v>
      </c>
      <c r="M4" s="2" t="s">
        <v>40</v>
      </c>
    </row>
    <row r="5" spans="1:13" ht="22.2" customHeight="1" x14ac:dyDescent="0.3">
      <c r="A5" s="3" t="s">
        <v>2</v>
      </c>
      <c r="B5" s="2" t="s">
        <v>5</v>
      </c>
      <c r="C5" s="2" t="s">
        <v>8</v>
      </c>
      <c r="D5" s="2" t="s">
        <v>11</v>
      </c>
      <c r="E5" s="2" t="s">
        <v>5</v>
      </c>
      <c r="F5" s="2" t="s">
        <v>15</v>
      </c>
      <c r="H5" s="3" t="s">
        <v>22</v>
      </c>
      <c r="I5" s="2" t="s">
        <v>24</v>
      </c>
      <c r="J5" s="2" t="s">
        <v>26</v>
      </c>
      <c r="K5" s="2" t="s">
        <v>28</v>
      </c>
      <c r="L5" s="2" t="s">
        <v>30</v>
      </c>
      <c r="M5" s="2" t="s">
        <v>41</v>
      </c>
    </row>
    <row r="6" spans="1:13" ht="22.2" customHeight="1" x14ac:dyDescent="0.3"/>
    <row r="7" spans="1:13" ht="21.6" customHeight="1" x14ac:dyDescent="0.3"/>
    <row r="8" spans="1:13" ht="14.4" customHeight="1" x14ac:dyDescent="0.3">
      <c r="A8" s="39" t="s">
        <v>35</v>
      </c>
      <c r="B8" s="39"/>
      <c r="C8" s="39"/>
      <c r="D8" s="39"/>
      <c r="E8" s="39"/>
      <c r="F8" s="39"/>
      <c r="H8" s="30" t="s">
        <v>37</v>
      </c>
      <c r="I8" s="31"/>
      <c r="J8" s="31"/>
      <c r="K8" s="31"/>
      <c r="L8" s="31"/>
      <c r="M8" s="32"/>
    </row>
    <row r="9" spans="1:13" ht="15" customHeight="1" x14ac:dyDescent="0.3">
      <c r="A9" s="39"/>
      <c r="B9" s="39"/>
      <c r="C9" s="39"/>
      <c r="D9" s="39"/>
      <c r="E9" s="39"/>
      <c r="F9" s="39"/>
      <c r="H9" s="33"/>
      <c r="I9" s="34"/>
      <c r="J9" s="34"/>
      <c r="K9" s="34"/>
      <c r="L9" s="34"/>
      <c r="M9" s="35"/>
    </row>
    <row r="10" spans="1:13" ht="21.6" customHeight="1" x14ac:dyDescent="0.3">
      <c r="A10" s="3" t="s">
        <v>1</v>
      </c>
      <c r="B10" s="2" t="s">
        <v>4</v>
      </c>
      <c r="C10" s="2" t="s">
        <v>7</v>
      </c>
      <c r="D10" s="2" t="s">
        <v>10</v>
      </c>
      <c r="E10" s="2" t="s">
        <v>14</v>
      </c>
      <c r="F10" s="2" t="s">
        <v>38</v>
      </c>
      <c r="H10" s="3" t="s">
        <v>22</v>
      </c>
      <c r="I10" s="2" t="s">
        <v>24</v>
      </c>
      <c r="J10" s="2" t="s">
        <v>26</v>
      </c>
      <c r="K10" s="2" t="s">
        <v>28</v>
      </c>
      <c r="L10" s="2" t="s">
        <v>30</v>
      </c>
      <c r="M10" s="2" t="s">
        <v>41</v>
      </c>
    </row>
    <row r="11" spans="1:13" ht="21" customHeight="1" x14ac:dyDescent="0.3">
      <c r="A11" s="3" t="s">
        <v>20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39</v>
      </c>
      <c r="H11" s="3" t="s">
        <v>31</v>
      </c>
      <c r="I11" s="2">
        <v>4</v>
      </c>
      <c r="J11" s="2">
        <v>5</v>
      </c>
      <c r="K11" s="2">
        <v>6</v>
      </c>
      <c r="L11" s="2">
        <v>8</v>
      </c>
      <c r="M11" s="2">
        <v>9</v>
      </c>
    </row>
    <row r="12" spans="1:13" ht="21" customHeight="1" x14ac:dyDescent="0.3">
      <c r="H12" s="3" t="s">
        <v>32</v>
      </c>
      <c r="I12" s="2" t="s">
        <v>33</v>
      </c>
      <c r="J12" s="2" t="s">
        <v>47</v>
      </c>
      <c r="K12" s="2" t="s">
        <v>33</v>
      </c>
      <c r="L12" s="2" t="s">
        <v>45</v>
      </c>
      <c r="M12" s="2" t="s">
        <v>42</v>
      </c>
    </row>
    <row r="13" spans="1:13" ht="21.6" customHeight="1" x14ac:dyDescent="0.3">
      <c r="A13" s="19" t="s">
        <v>51</v>
      </c>
      <c r="B13" s="19"/>
      <c r="C13" s="19"/>
      <c r="D13" s="19"/>
      <c r="E13" s="19"/>
    </row>
    <row r="14" spans="1:13" ht="22.8" customHeight="1" x14ac:dyDescent="0.3"/>
    <row r="15" spans="1:13" ht="21" customHeight="1" x14ac:dyDescent="0.3">
      <c r="A15" s="36" t="s">
        <v>43</v>
      </c>
      <c r="B15" s="37"/>
      <c r="C15" s="37"/>
      <c r="D15" s="37"/>
      <c r="E15" s="37"/>
      <c r="F15" s="37"/>
      <c r="G15" s="37"/>
      <c r="H15" s="38"/>
    </row>
    <row r="16" spans="1:13" ht="20.399999999999999" customHeight="1" x14ac:dyDescent="0.3">
      <c r="A16" s="9" t="s">
        <v>0</v>
      </c>
      <c r="B16" s="10" t="s">
        <v>3</v>
      </c>
      <c r="C16" s="10" t="s">
        <v>6</v>
      </c>
      <c r="D16" s="10" t="s">
        <v>12</v>
      </c>
      <c r="E16" s="2" t="s">
        <v>13</v>
      </c>
      <c r="F16" s="8"/>
    </row>
    <row r="17" spans="1:10" ht="20.399999999999999" customHeight="1" x14ac:dyDescent="0.3">
      <c r="A17" s="3" t="s">
        <v>32</v>
      </c>
      <c r="B17" s="2" t="str">
        <f>HLOOKUP(HLOOKUP(HLOOKUP(HLOOKUP(B16,A3:F5,2,0),A10:F11,2,0),H3:M5,3,0),H10:M12,3,0)</f>
        <v>6 months</v>
      </c>
      <c r="C17" s="2" t="str">
        <f>HLOOKUP(HLOOKUP(HLOOKUP(HLOOKUP(C16,A3:F5,2,0),A10:F11,2,0),H3:M5,3,0),H10:M12,3,0)</f>
        <v>4  years</v>
      </c>
      <c r="D17" s="2" t="str">
        <f>HLOOKUP(HLOOKUP(HLOOKUP(HLOOKUP(D16,A3:F5,2,0),A10:F11,2,0),H3:M5,3,0),H10:M12,3,0)</f>
        <v>5 years</v>
      </c>
      <c r="E17" s="2" t="str">
        <f>HLOOKUP(HLOOKUP(HLOOKUP(HLOOKUP(E16,A3:F5,2,0),A10:F11,2,0),H3:M5,3,0),H10:M12,3,0)</f>
        <v>8 Months</v>
      </c>
      <c r="G17" s="18" t="s">
        <v>49</v>
      </c>
      <c r="H17" s="18"/>
      <c r="I17" s="18"/>
      <c r="J17" s="18"/>
    </row>
    <row r="18" spans="1:10" ht="21.6" customHeight="1" x14ac:dyDescent="0.3">
      <c r="G18" s="3" t="s">
        <v>1</v>
      </c>
      <c r="H18" s="2" t="s">
        <v>4</v>
      </c>
      <c r="I18" s="2" t="s">
        <v>10</v>
      </c>
      <c r="J18" s="2" t="s">
        <v>38</v>
      </c>
    </row>
    <row r="19" spans="1:10" ht="22.2" customHeight="1" x14ac:dyDescent="0.3">
      <c r="G19" s="3" t="s">
        <v>22</v>
      </c>
      <c r="H19" s="2" t="str">
        <f>HLOOKUP(HLOOKUP(H18,A10:F11,2,0),H3:M5,3,0)</f>
        <v>Data Structures</v>
      </c>
      <c r="I19" s="2" t="str">
        <f>HLOOKUP(HLOOKUP(I18,A10:F11,2,0),H3:M5,3,0)</f>
        <v>Digital Circuits</v>
      </c>
      <c r="J19" s="2" t="str">
        <f>HLOOKUP(HLOOKUP(J18,A10:F11,2,0),H3:M5,3,0)</f>
        <v>Poetry and Drama</v>
      </c>
    </row>
    <row r="20" spans="1:10" ht="20.399999999999999" customHeight="1" x14ac:dyDescent="0.3">
      <c r="A20" s="23" t="s">
        <v>48</v>
      </c>
      <c r="B20" s="23"/>
      <c r="C20" s="23"/>
      <c r="D20" s="23"/>
      <c r="E20" s="23"/>
    </row>
    <row r="21" spans="1:10" ht="21" customHeight="1" x14ac:dyDescent="0.3">
      <c r="A21" s="9" t="s">
        <v>0</v>
      </c>
      <c r="B21" s="10" t="s">
        <v>3</v>
      </c>
      <c r="C21" s="10" t="s">
        <v>9</v>
      </c>
      <c r="D21" s="10" t="s">
        <v>13</v>
      </c>
      <c r="E21" s="2" t="s">
        <v>12</v>
      </c>
    </row>
    <row r="22" spans="1:10" ht="22.2" customHeight="1" x14ac:dyDescent="0.3">
      <c r="A22" s="3" t="s">
        <v>20</v>
      </c>
      <c r="B22" s="2" t="str">
        <f>HLOOKUP(HLOOKUP(B21,A3:F5,2,0),A10:F11,2,0)</f>
        <v>Dr. S. Nair</v>
      </c>
      <c r="C22" s="2" t="str">
        <f>HLOOKUP(HLOOKUP(C21,A3:F5,2,0),A10:F11,2,0)</f>
        <v>Dr. P. Gupta</v>
      </c>
      <c r="D22" s="2" t="str">
        <f>HLOOKUP(HLOOKUP(D21,A3:F5,2,0),A10:F11,2,0)</f>
        <v>Dr. Meera Verma</v>
      </c>
      <c r="E22" s="2" t="str">
        <f>HLOOKUP(HLOOKUP(E21,A3:F5,2,0),A10:F11,2,0)</f>
        <v>Dr. R. Bansal</v>
      </c>
    </row>
    <row r="23" spans="1:10" ht="22.2" customHeight="1" x14ac:dyDescent="0.3"/>
    <row r="24" spans="1:10" ht="22.8" customHeight="1" x14ac:dyDescent="0.3">
      <c r="A24" s="18" t="s">
        <v>50</v>
      </c>
      <c r="B24" s="18"/>
      <c r="C24" s="18"/>
      <c r="D24" s="18"/>
    </row>
    <row r="25" spans="1:10" ht="25.8" customHeight="1" x14ac:dyDescent="0.3">
      <c r="A25" s="3" t="s">
        <v>21</v>
      </c>
      <c r="B25" s="2" t="s">
        <v>23</v>
      </c>
      <c r="C25" s="2" t="s">
        <v>27</v>
      </c>
      <c r="D25" s="2" t="s">
        <v>40</v>
      </c>
    </row>
    <row r="26" spans="1:10" ht="21" customHeight="1" x14ac:dyDescent="0.3">
      <c r="A26" s="3" t="s">
        <v>31</v>
      </c>
      <c r="B26" s="2">
        <f>HLOOKUP(HLOOKUP(B25,H4:M5,2,0),H10:M12,2,0)</f>
        <v>4</v>
      </c>
      <c r="C26" s="2">
        <f>HLOOKUP(HLOOKUP(C25,H4:M5,2,0),H10:M12,2,0)</f>
        <v>6</v>
      </c>
      <c r="D26" s="2">
        <f>HLOOKUP(HLOOKUP(D25,H4:M5,2,0),H10:M12,2,0)</f>
        <v>9</v>
      </c>
    </row>
    <row r="27" spans="1:10" ht="21" customHeight="1" x14ac:dyDescent="0.3"/>
    <row r="28" spans="1:10" ht="21" customHeight="1" x14ac:dyDescent="0.3"/>
  </sheetData>
  <mergeCells count="9">
    <mergeCell ref="A20:E20"/>
    <mergeCell ref="G17:J17"/>
    <mergeCell ref="A24:D24"/>
    <mergeCell ref="A13:E13"/>
    <mergeCell ref="H1:M2"/>
    <mergeCell ref="H8:M9"/>
    <mergeCell ref="A15:H15"/>
    <mergeCell ref="A8:F9"/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 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Madhurimajanta2007@gmail.com</dc:creator>
  <cp:lastModifiedBy>Madhurimajanta2007@gmail.com</cp:lastModifiedBy>
  <dcterms:created xsi:type="dcterms:W3CDTF">2025-11-11T04:18:43Z</dcterms:created>
  <dcterms:modified xsi:type="dcterms:W3CDTF">2025-11-14T05:43:17Z</dcterms:modified>
</cp:coreProperties>
</file>