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66cca87e9f834a/Desktop/"/>
    </mc:Choice>
  </mc:AlternateContent>
  <xr:revisionPtr revIDLastSave="3" documentId="8_{B92A7A1A-0EA7-4F07-B14B-B20D17A3C0FA}" xr6:coauthVersionLast="47" xr6:coauthVersionMax="47" xr10:uidLastSave="{BBDE01CE-5000-49AE-B9EA-9A8C6FCB5611}"/>
  <bookViews>
    <workbookView minimized="1" xWindow="1428" yWindow="1428" windowWidth="17280" windowHeight="8880" xr2:uid="{8CE5A9E5-D5BE-46C9-8B5D-FD87E874C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/>
  <c r="G5" i="1"/>
  <c r="H5" i="1"/>
  <c r="I5" i="1"/>
  <c r="E6" i="1"/>
  <c r="F6" i="1"/>
  <c r="G6" i="1"/>
  <c r="H6" i="1"/>
  <c r="I6" i="1"/>
  <c r="E7" i="1"/>
  <c r="F7" i="1"/>
  <c r="G7" i="1"/>
  <c r="H7" i="1"/>
  <c r="I7" i="1"/>
  <c r="E8" i="1"/>
  <c r="F8" i="1"/>
  <c r="G8" i="1"/>
  <c r="H8" i="1"/>
  <c r="I8" i="1"/>
  <c r="E9" i="1"/>
  <c r="F9" i="1"/>
  <c r="G9" i="1"/>
  <c r="H9" i="1"/>
  <c r="I9" i="1"/>
  <c r="E10" i="1"/>
  <c r="F10" i="1"/>
  <c r="G10" i="1"/>
  <c r="H10" i="1"/>
  <c r="I10" i="1"/>
  <c r="E11" i="1"/>
  <c r="F11" i="1"/>
  <c r="G11" i="1"/>
  <c r="H11" i="1"/>
  <c r="I11" i="1"/>
  <c r="E12" i="1"/>
  <c r="F12" i="1"/>
  <c r="G12" i="1"/>
  <c r="H12" i="1"/>
  <c r="I12" i="1"/>
  <c r="E13" i="1"/>
  <c r="F13" i="1"/>
  <c r="G13" i="1"/>
  <c r="H13" i="1"/>
  <c r="I13" i="1"/>
  <c r="E14" i="1"/>
  <c r="F14" i="1"/>
  <c r="G14" i="1"/>
  <c r="H14" i="1"/>
  <c r="I14" i="1"/>
  <c r="E15" i="1"/>
  <c r="F15" i="1"/>
  <c r="G15" i="1"/>
  <c r="H15" i="1"/>
  <c r="I15" i="1"/>
  <c r="E16" i="1"/>
  <c r="F16" i="1"/>
  <c r="G16" i="1"/>
  <c r="H16" i="1"/>
  <c r="I16" i="1"/>
  <c r="E17" i="1"/>
  <c r="F17" i="1"/>
  <c r="G17" i="1"/>
  <c r="H17" i="1"/>
  <c r="I17" i="1"/>
  <c r="E18" i="1"/>
  <c r="F18" i="1"/>
  <c r="G18" i="1"/>
  <c r="H18" i="1"/>
  <c r="I18" i="1"/>
  <c r="J12" i="1" l="1"/>
  <c r="J11" i="1"/>
  <c r="J15" i="1"/>
  <c r="J6" i="1"/>
  <c r="J10" i="1"/>
  <c r="J17" i="1"/>
  <c r="J13" i="1"/>
  <c r="J18" i="1"/>
  <c r="J8" i="1"/>
  <c r="J5" i="1"/>
  <c r="J14" i="1"/>
  <c r="J7" i="1"/>
  <c r="J16" i="1"/>
  <c r="J9" i="1"/>
  <c r="O4" i="1" l="1"/>
  <c r="N4" i="1"/>
  <c r="M4" i="1"/>
  <c r="K14" i="1"/>
  <c r="L13" i="1"/>
  <c r="K10" i="1"/>
  <c r="L9" i="1"/>
  <c r="K7" i="1"/>
  <c r="L6" i="1"/>
  <c r="K8" i="1"/>
  <c r="L7" i="1"/>
  <c r="K17" i="1"/>
  <c r="L16" i="1"/>
  <c r="K6" i="1"/>
  <c r="L5" i="1"/>
  <c r="K18" i="1"/>
  <c r="L17" i="1"/>
  <c r="K9" i="1"/>
  <c r="L8" i="1"/>
  <c r="K11" i="1"/>
  <c r="L10" i="1"/>
  <c r="K13" i="1"/>
  <c r="L12" i="1"/>
  <c r="K15" i="1"/>
  <c r="L14" i="1"/>
  <c r="K16" i="1"/>
  <c r="L15" i="1"/>
  <c r="K12" i="1"/>
  <c r="L11" i="1"/>
  <c r="K5" i="1"/>
  <c r="L4" i="1"/>
</calcChain>
</file>

<file path=xl/sharedStrings.xml><?xml version="1.0" encoding="utf-8"?>
<sst xmlns="http://schemas.openxmlformats.org/spreadsheetml/2006/main" count="79" uniqueCount="67">
  <si>
    <t>NAME</t>
  </si>
  <si>
    <t>HINDI</t>
  </si>
  <si>
    <t>MATH</t>
  </si>
  <si>
    <t>PHYSICS</t>
  </si>
  <si>
    <t>CHEMISTRY</t>
  </si>
  <si>
    <t>ENGLISH</t>
  </si>
  <si>
    <t>TOTAL</t>
  </si>
  <si>
    <t>PERCENTAGE</t>
  </si>
  <si>
    <t>PASS/FAIL</t>
  </si>
  <si>
    <t>MAX</t>
  </si>
  <si>
    <t>MIN</t>
  </si>
  <si>
    <t>AVERAGE</t>
  </si>
  <si>
    <t>CITY</t>
  </si>
  <si>
    <t>GENDER</t>
  </si>
  <si>
    <t>DATE OF BIRTH</t>
  </si>
  <si>
    <t>MARKS SHEET (CLASS 12TH)</t>
  </si>
  <si>
    <t>Sadhna</t>
  </si>
  <si>
    <t>Aniket</t>
  </si>
  <si>
    <t>Atul</t>
  </si>
  <si>
    <t>Om</t>
  </si>
  <si>
    <t>Swati</t>
  </si>
  <si>
    <t>Aman</t>
  </si>
  <si>
    <t>Golu</t>
  </si>
  <si>
    <t>Rubi</t>
  </si>
  <si>
    <t>Aryan</t>
  </si>
  <si>
    <t>Shanu</t>
  </si>
  <si>
    <t>Mala</t>
  </si>
  <si>
    <t>Ankit</t>
  </si>
  <si>
    <t>Deepa</t>
  </si>
  <si>
    <t>Vivek</t>
  </si>
  <si>
    <t>M</t>
  </si>
  <si>
    <t>F</t>
  </si>
  <si>
    <t>Delhi</t>
  </si>
  <si>
    <t>Lucknow</t>
  </si>
  <si>
    <t>Haridwae</t>
  </si>
  <si>
    <t>Surat</t>
  </si>
  <si>
    <t>Chennai</t>
  </si>
  <si>
    <t>Kolkata</t>
  </si>
  <si>
    <t>Hyderabad</t>
  </si>
  <si>
    <t>Jaipur</t>
  </si>
  <si>
    <t>Mumbai</t>
  </si>
  <si>
    <t>Pune</t>
  </si>
  <si>
    <t>Agra</t>
  </si>
  <si>
    <t>Udaipur</t>
  </si>
  <si>
    <t>Bangalore</t>
  </si>
  <si>
    <t>Ahmedabad</t>
  </si>
  <si>
    <t>Column1</t>
  </si>
  <si>
    <t>Column2</t>
  </si>
  <si>
    <t>Column3</t>
  </si>
  <si>
    <t>Column4</t>
  </si>
  <si>
    <t>Column5</t>
  </si>
  <si>
    <t>Column6</t>
  </si>
  <si>
    <t>Column7</t>
  </si>
  <si>
    <t>Applied average formula in total marks</t>
  </si>
  <si>
    <t>MERGE &amp; CENTER</t>
  </si>
  <si>
    <t>Applied min formula in total marks</t>
  </si>
  <si>
    <t>Applied max formula in total marks</t>
  </si>
  <si>
    <t xml:space="preserve"> Applied wrap text</t>
  </si>
  <si>
    <t>Applied all borders</t>
  </si>
  <si>
    <t>Applied fill color</t>
  </si>
  <si>
    <t>Applied font color</t>
  </si>
  <si>
    <t>Applied sum formula in total marks</t>
  </si>
  <si>
    <t>Applied in conditional formatting</t>
  </si>
  <si>
    <t>Apply cell styles</t>
  </si>
  <si>
    <t>Applied in ( bold,italic,underline)</t>
  </si>
  <si>
    <t>Applied  percentage formula in total marks</t>
  </si>
  <si>
    <t>Apply (increase and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</si>
</sst>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Algerian"/>
      <family val="5"/>
    </font>
    <font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quotePrefix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0" xfId="0" applyFont="1"/>
    <xf numFmtId="0" fontId="4" fillId="3" borderId="1" xfId="0" applyFont="1" applyFill="1" applyBorder="1" applyAlignment="1">
      <alignment horizontal="center" wrapText="1"/>
    </xf>
    <xf numFmtId="0" fontId="0" fillId="0" borderId="0" xfId="0" quotePrefix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3" fillId="4" borderId="0" xfId="0" quotePrefix="1" applyFont="1" applyFill="1" applyAlignment="1">
      <alignment horizontal="center" vertical="top"/>
    </xf>
  </cellXfs>
  <cellStyles count="2">
    <cellStyle name="Accent5" xfId="1" builtinId="45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1016000</xdr:colOff>
      <xdr:row>17</xdr:row>
      <xdr:rowOff>114300</xdr:rowOff>
    </xdr:from>
    <xdr:to>
      <xdr:col>4</xdr:col>
      <xdr:colOff>146050</xdr:colOff>
      <xdr:row>19</xdr:row>
      <xdr:rowOff>165100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9E21362E-0B1A-E254-79F0-1713FC7BC118}"/>
            </a:ext>
          </a:extLst>
        </xdr:cNvPr>
        <xdr:cNvCxnSpPr/>
      </xdr:nvCxnSpPr>
      <xdr:spPr>
        <a:xfrm rot="5400000">
          <a:off x="3200400" y="3352800"/>
          <a:ext cx="419100" cy="3175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275493</xdr:colOff>
      <xdr:row>16</xdr:row>
      <xdr:rowOff>49335</xdr:rowOff>
    </xdr:from>
    <xdr:to>
      <xdr:col>3</xdr:col>
      <xdr:colOff>281843</xdr:colOff>
      <xdr:row>18</xdr:row>
      <xdr:rowOff>11235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00E7555-60A9-6E8C-8A0A-11CC8837A5E7}"/>
            </a:ext>
          </a:extLst>
        </xdr:cNvPr>
        <xdr:cNvCxnSpPr/>
      </xdr:nvCxnSpPr>
      <xdr:spPr>
        <a:xfrm flipH="1">
          <a:off x="2512647" y="3312258"/>
          <a:ext cx="6350" cy="2940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634511</xdr:colOff>
      <xdr:row>17</xdr:row>
      <xdr:rowOff>155330</xdr:rowOff>
    </xdr:from>
    <xdr:to>
      <xdr:col>6</xdr:col>
      <xdr:colOff>390280</xdr:colOff>
      <xdr:row>20</xdr:row>
      <xdr:rowOff>129930</xdr:rowOff>
    </xdr:to>
    <xdr:sp macro="" textlink="">
      <xdr:nvSpPr>
        <xdr:cNvPr id="16" name="Arrow: Down 15">
          <a:extLst>
            <a:ext uri="{FF2B5EF4-FFF2-40B4-BE49-F238E27FC236}">
              <a16:creationId xmlns:a16="http://schemas.microsoft.com/office/drawing/2014/main" id="{F00E7A3D-6A82-7B38-C0E7-4AF88D2DC91D}"/>
            </a:ext>
          </a:extLst>
        </xdr:cNvPr>
        <xdr:cNvSpPr/>
      </xdr:nvSpPr>
      <xdr:spPr>
        <a:xfrm>
          <a:off x="4747357" y="3564792"/>
          <a:ext cx="459154" cy="5314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798195</xdr:colOff>
      <xdr:row>2</xdr:row>
      <xdr:rowOff>308610</xdr:rowOff>
    </xdr:from>
    <xdr:to>
      <xdr:col>17</xdr:col>
      <xdr:colOff>579120</xdr:colOff>
      <xdr:row>5</xdr:row>
      <xdr:rowOff>87630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390B3EF0-1B09-BD58-6E13-A5DFA1CEC026}"/>
            </a:ext>
          </a:extLst>
        </xdr:cNvPr>
        <xdr:cNvCxnSpPr/>
      </xdr:nvCxnSpPr>
      <xdr:spPr>
        <a:xfrm>
          <a:off x="11755755" y="689610"/>
          <a:ext cx="1800225" cy="601980"/>
        </a:xfrm>
        <a:prstGeom prst="bentConnector3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15240</xdr:colOff>
      <xdr:row>1</xdr:row>
      <xdr:rowOff>5080</xdr:rowOff>
    </xdr:from>
    <xdr:to>
      <xdr:col>15</xdr:col>
      <xdr:colOff>548640</xdr:colOff>
      <xdr:row>1</xdr:row>
      <xdr:rowOff>172720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7DED08F7-8970-D3C1-87F8-B2C4006EC388}"/>
            </a:ext>
          </a:extLst>
        </xdr:cNvPr>
        <xdr:cNvSpPr/>
      </xdr:nvSpPr>
      <xdr:spPr>
        <a:xfrm>
          <a:off x="12009120" y="198120"/>
          <a:ext cx="533400" cy="16764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665480</xdr:colOff>
      <xdr:row>2</xdr:row>
      <xdr:rowOff>345440</xdr:rowOff>
    </xdr:from>
    <xdr:to>
      <xdr:col>15</xdr:col>
      <xdr:colOff>162560</xdr:colOff>
      <xdr:row>11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818A041-C2F1-A1E7-F8D7-A158FAC51424}"/>
            </a:ext>
          </a:extLst>
        </xdr:cNvPr>
        <xdr:cNvCxnSpPr/>
      </xdr:nvCxnSpPr>
      <xdr:spPr>
        <a:xfrm>
          <a:off x="8661400" y="731520"/>
          <a:ext cx="3271520" cy="167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254000</xdr:colOff>
      <xdr:row>3</xdr:row>
      <xdr:rowOff>167640</xdr:rowOff>
    </xdr:from>
    <xdr:to>
      <xdr:col>12</xdr:col>
      <xdr:colOff>259080</xdr:colOff>
      <xdr:row>12</xdr:row>
      <xdr:rowOff>172720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3FA19AF-4C0C-C340-B774-443B6A633DFB}"/>
            </a:ext>
          </a:extLst>
        </xdr:cNvPr>
        <xdr:cNvCxnSpPr/>
      </xdr:nvCxnSpPr>
      <xdr:spPr>
        <a:xfrm flipH="1">
          <a:off x="10002520" y="1010920"/>
          <a:ext cx="5080" cy="165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218440</xdr:colOff>
      <xdr:row>3</xdr:row>
      <xdr:rowOff>147320</xdr:rowOff>
    </xdr:from>
    <xdr:to>
      <xdr:col>13</xdr:col>
      <xdr:colOff>218440</xdr:colOff>
      <xdr:row>5</xdr:row>
      <xdr:rowOff>177800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60DD6B6-55F4-BB35-B571-56123E91B294}"/>
            </a:ext>
          </a:extLst>
        </xdr:cNvPr>
        <xdr:cNvCxnSpPr/>
      </xdr:nvCxnSpPr>
      <xdr:spPr>
        <a:xfrm>
          <a:off x="10576560" y="990600"/>
          <a:ext cx="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</xdr:row>
      <xdr:rowOff>400539</xdr:rowOff>
    </xdr:from>
    <xdr:to>
      <xdr:col>8</xdr:col>
      <xdr:colOff>156308</xdr:colOff>
      <xdr:row>26</xdr:row>
      <xdr:rowOff>97692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EA8C1E71-C55B-3023-5615-6A5685BA5E0C}"/>
            </a:ext>
          </a:extLst>
        </xdr:cNvPr>
        <xdr:cNvCxnSpPr/>
      </xdr:nvCxnSpPr>
      <xdr:spPr>
        <a:xfrm>
          <a:off x="6604000" y="791308"/>
          <a:ext cx="29308" cy="43863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322385</xdr:colOff>
      <xdr:row>17</xdr:row>
      <xdr:rowOff>127000</xdr:rowOff>
    </xdr:from>
    <xdr:to>
      <xdr:col>9</xdr:col>
      <xdr:colOff>322385</xdr:colOff>
      <xdr:row>20</xdr:row>
      <xdr:rowOff>29307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6474C1F6-6EFC-FEA3-D1F2-5D17D34726F6}"/>
            </a:ext>
          </a:extLst>
        </xdr:cNvPr>
        <xdr:cNvCxnSpPr/>
      </xdr:nvCxnSpPr>
      <xdr:spPr>
        <a:xfrm>
          <a:off x="7571154" y="3536462"/>
          <a:ext cx="0" cy="4591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44823</xdr:colOff>
      <xdr:row>16</xdr:row>
      <xdr:rowOff>123264</xdr:rowOff>
    </xdr:from>
    <xdr:to>
      <xdr:col>1</xdr:col>
      <xdr:colOff>56029</xdr:colOff>
      <xdr:row>23</xdr:row>
      <xdr:rowOff>78441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5A10F72-6ED1-F151-6911-B0D4FDCF2BC3}"/>
            </a:ext>
          </a:extLst>
        </xdr:cNvPr>
        <xdr:cNvCxnSpPr/>
      </xdr:nvCxnSpPr>
      <xdr:spPr>
        <a:xfrm>
          <a:off x="649941" y="3294529"/>
          <a:ext cx="11206" cy="11766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369794</xdr:colOff>
      <xdr:row>1</xdr:row>
      <xdr:rowOff>78441</xdr:rowOff>
    </xdr:from>
    <xdr:to>
      <xdr:col>7</xdr:col>
      <xdr:colOff>369794</xdr:colOff>
      <xdr:row>1</xdr:row>
      <xdr:rowOff>134471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6FC19936-EAA3-E684-A80E-CEA4B8A22AD9}"/>
            </a:ext>
          </a:extLst>
        </xdr:cNvPr>
        <xdr:cNvCxnSpPr/>
      </xdr:nvCxnSpPr>
      <xdr:spPr>
        <a:xfrm>
          <a:off x="5939118" y="268941"/>
          <a:ext cx="0" cy="560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</xdr:row>
      <xdr:rowOff>104775</xdr:rowOff>
    </xdr:from>
    <xdr:to>
      <xdr:col>5</xdr:col>
      <xdr:colOff>133350</xdr:colOff>
      <xdr:row>25</xdr:row>
      <xdr:rowOff>171450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1D19B13C-78DA-2A1B-4F91-3652D6C0387E}"/>
            </a:ext>
          </a:extLst>
        </xdr:cNvPr>
        <xdr:cNvCxnSpPr/>
      </xdr:nvCxnSpPr>
      <xdr:spPr>
        <a:xfrm>
          <a:off x="4219575" y="295275"/>
          <a:ext cx="38100" cy="4657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733425</xdr:colOff>
      <xdr:row>18</xdr:row>
      <xdr:rowOff>19050</xdr:rowOff>
    </xdr:from>
    <xdr:to>
      <xdr:col>10</xdr:col>
      <xdr:colOff>847725</xdr:colOff>
      <xdr:row>24</xdr:row>
      <xdr:rowOff>9525</xdr:rowOff>
    </xdr:to>
    <xdr:sp macro="" textlink="">
      <xdr:nvSpPr>
        <xdr:cNvPr id="41" name="Arrow: Down 40">
          <a:extLst>
            <a:ext uri="{FF2B5EF4-FFF2-40B4-BE49-F238E27FC236}">
              <a16:creationId xmlns:a16="http://schemas.microsoft.com/office/drawing/2014/main" id="{614EF511-FFDB-60FA-9790-D86B3F66B381}"/>
            </a:ext>
          </a:extLst>
        </xdr:cNvPr>
        <xdr:cNvSpPr/>
      </xdr:nvSpPr>
      <xdr:spPr>
        <a:xfrm>
          <a:off x="9134475" y="3533775"/>
          <a:ext cx="114300" cy="10763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263236</xdr:colOff>
      <xdr:row>17</xdr:row>
      <xdr:rowOff>13854</xdr:rowOff>
    </xdr:from>
    <xdr:to>
      <xdr:col>0</xdr:col>
      <xdr:colOff>263236</xdr:colOff>
      <xdr:row>30</xdr:row>
      <xdr:rowOff>41564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6430BC41-80C1-3D99-42BC-09B00B9F4AE7}"/>
            </a:ext>
          </a:extLst>
        </xdr:cNvPr>
        <xdr:cNvCxnSpPr/>
      </xdr:nvCxnSpPr>
      <xdr:spPr>
        <a:xfrm>
          <a:off x="263236" y="3338945"/>
          <a:ext cx="0" cy="23691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93F78-DEA3-432D-99FC-30087DEC7A1D}" name="Table1" displayName="Table1" ref="E4:K18" totalsRowShown="0" headerRowDxfId="8" dataDxfId="7">
  <autoFilter ref="E4:K18" xr:uid="{13393F78-DEA3-432D-99FC-30087DEC7A1D}"/>
  <tableColumns count="7">
    <tableColumn id="1" xr3:uid="{F445DE00-9F16-42BD-8C30-F5C797C8C342}" name="Column1" dataDxfId="6">
      <calculatedColumnFormula>RANDBETWEEN(33,99)</calculatedColumnFormula>
    </tableColumn>
    <tableColumn id="2" xr3:uid="{7D0C83C5-BF24-4BD6-AEE5-7BE1788D25D8}" name="Column2" dataDxfId="5">
      <calculatedColumnFormula>RANDBETWEEN(33,99)</calculatedColumnFormula>
    </tableColumn>
    <tableColumn id="3" xr3:uid="{3CFE1500-47FC-44CC-A8BF-22A0DDFE22C4}" name="Column3" dataDxfId="4">
      <calculatedColumnFormula>RANDBETWEEN(33,99)</calculatedColumnFormula>
    </tableColumn>
    <tableColumn id="4" xr3:uid="{679002FB-0ED3-4878-8667-E476B034D096}" name="Column4" dataDxfId="3">
      <calculatedColumnFormula>RANDBETWEEN(33,99)</calculatedColumnFormula>
    </tableColumn>
    <tableColumn id="5" xr3:uid="{28F4156D-0653-4B1B-8748-DD4A68608CFD}" name="Column5" dataDxfId="2">
      <calculatedColumnFormula>RANDBETWEEN(33,99)</calculatedColumnFormula>
    </tableColumn>
    <tableColumn id="6" xr3:uid="{D4B2E200-DE8E-446B-8898-186F9225B7F0}" name="Column6" dataDxfId="1">
      <calculatedColumnFormula>SUM(E5:I5)</calculatedColumnFormula>
    </tableColumn>
    <tableColumn id="7" xr3:uid="{AF020CF2-EB40-428F-8248-48E65A5D41E0}" name="Column7" dataDxfId="0">
      <calculatedColumnFormula>J5/5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2CD8-2CAB-466C-98C4-24359A8A81A3}">
  <dimension ref="A1:V31"/>
  <sheetViews>
    <sheetView tabSelected="1" zoomScale="68" zoomScaleNormal="100" workbookViewId="0">
      <selection activeCell="P21" sqref="P21"/>
    </sheetView>
  </sheetViews>
  <sheetFormatPr defaultRowHeight="14.4" x14ac:dyDescent="0.3"/>
  <cols>
    <col min="1" max="1" width="15.33203125" customWidth="1"/>
    <col min="2" max="2" width="10.77734375" customWidth="1"/>
    <col min="3" max="3" width="13" customWidth="1"/>
    <col min="4" max="4" width="17.33203125" customWidth="1"/>
    <col min="5" max="5" width="10" customWidth="1"/>
    <col min="6" max="6" width="14.5546875" customWidth="1"/>
    <col min="7" max="7" width="10.88671875" customWidth="1"/>
    <col min="8" max="8" width="13.44140625" customWidth="1"/>
    <col min="9" max="9" width="11.21875" customWidth="1"/>
    <col min="10" max="10" width="12.21875" customWidth="1"/>
    <col min="11" max="11" width="12.88671875" customWidth="1"/>
    <col min="12" max="12" width="12.21875" customWidth="1"/>
    <col min="13" max="13" width="13.21875" customWidth="1"/>
    <col min="15" max="15" width="11.6640625" customWidth="1"/>
  </cols>
  <sheetData>
    <row r="1" spans="1:22" ht="15" customHeight="1" x14ac:dyDescent="0.3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22" ht="1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Q2" s="13" t="s">
        <v>54</v>
      </c>
      <c r="R2" s="13"/>
    </row>
    <row r="3" spans="1:22" ht="36" x14ac:dyDescent="0.35">
      <c r="A3" s="8" t="s">
        <v>0</v>
      </c>
      <c r="B3" s="2" t="s">
        <v>13</v>
      </c>
      <c r="C3" s="2" t="s">
        <v>12</v>
      </c>
      <c r="D3" s="2" t="s">
        <v>14</v>
      </c>
      <c r="E3" s="2" t="s">
        <v>1</v>
      </c>
      <c r="F3" s="2" t="s">
        <v>2</v>
      </c>
      <c r="G3" s="2" t="s">
        <v>3</v>
      </c>
      <c r="H3" s="8" t="s">
        <v>4</v>
      </c>
      <c r="I3" s="2" t="s">
        <v>5</v>
      </c>
      <c r="J3" s="2" t="s">
        <v>6</v>
      </c>
      <c r="K3" s="14" t="s">
        <v>7</v>
      </c>
      <c r="L3" s="2" t="s">
        <v>8</v>
      </c>
      <c r="M3" s="2" t="s">
        <v>9</v>
      </c>
      <c r="N3" s="2" t="s">
        <v>10</v>
      </c>
      <c r="O3" s="2" t="s">
        <v>11</v>
      </c>
      <c r="S3" s="3"/>
    </row>
    <row r="4" spans="1:22" x14ac:dyDescent="0.3">
      <c r="A4" s="10" t="s">
        <v>17</v>
      </c>
      <c r="B4" s="4" t="s">
        <v>30</v>
      </c>
      <c r="C4" s="9" t="s">
        <v>32</v>
      </c>
      <c r="D4" s="5">
        <v>37299</v>
      </c>
      <c r="E4" s="6" t="s">
        <v>46</v>
      </c>
      <c r="F4" s="6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6" t="s">
        <v>52</v>
      </c>
      <c r="L4" s="11" t="str">
        <f t="shared" ref="L4:L17" ca="1" si="0">IF(J5&gt;=275,"pass","fail")</f>
        <v>pass</v>
      </c>
      <c r="M4" s="12">
        <f ca="1">MAX(J5:J18)</f>
        <v>412</v>
      </c>
      <c r="N4" s="12">
        <f ca="1">MIN(J5:J18)</f>
        <v>264</v>
      </c>
      <c r="O4" s="12">
        <f ca="1">AVERAGE(J5:J18)</f>
        <v>330.92857142857144</v>
      </c>
    </row>
    <row r="5" spans="1:22" x14ac:dyDescent="0.3">
      <c r="A5" s="10" t="s">
        <v>16</v>
      </c>
      <c r="B5" s="4" t="s">
        <v>31</v>
      </c>
      <c r="C5" s="9" t="s">
        <v>33</v>
      </c>
      <c r="D5" s="5">
        <v>37300</v>
      </c>
      <c r="E5" s="6">
        <f t="shared" ref="E5:I18" ca="1" si="1">RANDBETWEEN(33,99)</f>
        <v>52</v>
      </c>
      <c r="F5" s="6">
        <f t="shared" ca="1" si="1"/>
        <v>41</v>
      </c>
      <c r="G5" s="6">
        <f t="shared" ca="1" si="1"/>
        <v>69</v>
      </c>
      <c r="H5" s="6">
        <f t="shared" ca="1" si="1"/>
        <v>75</v>
      </c>
      <c r="I5" s="6">
        <f t="shared" ca="1" si="1"/>
        <v>77</v>
      </c>
      <c r="J5" s="6">
        <f ca="1">SUM(E5:I5)</f>
        <v>314</v>
      </c>
      <c r="K5" s="6">
        <f ca="1">J5/5</f>
        <v>62.8</v>
      </c>
      <c r="L5" s="11" t="str">
        <f t="shared" ca="1" si="0"/>
        <v>fail</v>
      </c>
      <c r="M5" s="3"/>
      <c r="N5" s="3"/>
      <c r="O5" s="3"/>
      <c r="S5" s="13"/>
      <c r="T5" s="13"/>
    </row>
    <row r="6" spans="1:22" x14ac:dyDescent="0.3">
      <c r="A6" s="10" t="s">
        <v>18</v>
      </c>
      <c r="B6" s="4" t="s">
        <v>30</v>
      </c>
      <c r="C6" s="9" t="s">
        <v>34</v>
      </c>
      <c r="D6" s="5">
        <v>37301</v>
      </c>
      <c r="E6" s="6">
        <f t="shared" ca="1" si="1"/>
        <v>80</v>
      </c>
      <c r="F6" s="6">
        <f t="shared" ca="1" si="1"/>
        <v>34</v>
      </c>
      <c r="G6" s="6">
        <f t="shared" ca="1" si="1"/>
        <v>36</v>
      </c>
      <c r="H6" s="6">
        <f t="shared" ca="1" si="1"/>
        <v>69</v>
      </c>
      <c r="I6" s="6">
        <f t="shared" ca="1" si="1"/>
        <v>47</v>
      </c>
      <c r="J6" s="6">
        <f t="shared" ref="J6:J18" ca="1" si="2">SUM(E6:I6)</f>
        <v>266</v>
      </c>
      <c r="K6" s="6">
        <f t="shared" ref="K6:K18" ca="1" si="3">J6/5</f>
        <v>53.2</v>
      </c>
      <c r="L6" s="11" t="str">
        <f t="shared" ca="1" si="0"/>
        <v>pass</v>
      </c>
      <c r="M6" s="3"/>
      <c r="N6" s="3"/>
      <c r="O6" s="3"/>
      <c r="S6" s="13" t="s">
        <v>53</v>
      </c>
      <c r="T6" s="13"/>
      <c r="U6" s="13"/>
      <c r="V6" s="13"/>
    </row>
    <row r="7" spans="1:22" x14ac:dyDescent="0.3">
      <c r="A7" s="10" t="s">
        <v>19</v>
      </c>
      <c r="B7" s="4" t="s">
        <v>30</v>
      </c>
      <c r="C7" s="9" t="s">
        <v>35</v>
      </c>
      <c r="D7" s="5">
        <v>37302</v>
      </c>
      <c r="E7" s="6">
        <f t="shared" ca="1" si="1"/>
        <v>90</v>
      </c>
      <c r="F7" s="6">
        <f t="shared" ca="1" si="1"/>
        <v>70</v>
      </c>
      <c r="G7" s="6">
        <f t="shared" ca="1" si="1"/>
        <v>57</v>
      </c>
      <c r="H7" s="6">
        <f t="shared" ca="1" si="1"/>
        <v>55</v>
      </c>
      <c r="I7" s="6">
        <f t="shared" ca="1" si="1"/>
        <v>41</v>
      </c>
      <c r="J7" s="6">
        <f t="shared" ca="1" si="2"/>
        <v>313</v>
      </c>
      <c r="K7" s="6">
        <f t="shared" ca="1" si="3"/>
        <v>62.6</v>
      </c>
      <c r="L7" s="11" t="str">
        <f t="shared" ca="1" si="0"/>
        <v>pass</v>
      </c>
      <c r="N7" s="3"/>
      <c r="O7" s="3" t="s">
        <v>55</v>
      </c>
      <c r="P7" s="3"/>
    </row>
    <row r="8" spans="1:22" x14ac:dyDescent="0.3">
      <c r="A8" s="10" t="s">
        <v>20</v>
      </c>
      <c r="B8" s="4" t="s">
        <v>31</v>
      </c>
      <c r="C8" s="9" t="s">
        <v>36</v>
      </c>
      <c r="D8" s="5">
        <v>37303</v>
      </c>
      <c r="E8" s="6">
        <f t="shared" ca="1" si="1"/>
        <v>57</v>
      </c>
      <c r="F8" s="6">
        <f t="shared" ca="1" si="1"/>
        <v>57</v>
      </c>
      <c r="G8" s="6">
        <f t="shared" ca="1" si="1"/>
        <v>43</v>
      </c>
      <c r="H8" s="6">
        <f t="shared" ca="1" si="1"/>
        <v>59</v>
      </c>
      <c r="I8" s="6">
        <f t="shared" ca="1" si="1"/>
        <v>91</v>
      </c>
      <c r="J8" s="6">
        <f t="shared" ca="1" si="2"/>
        <v>307</v>
      </c>
      <c r="K8" s="6">
        <f t="shared" ca="1" si="3"/>
        <v>61.4</v>
      </c>
      <c r="L8" s="11" t="str">
        <f t="shared" ca="1" si="0"/>
        <v>pass</v>
      </c>
      <c r="M8" s="3"/>
      <c r="N8" s="13"/>
      <c r="O8" s="3"/>
    </row>
    <row r="9" spans="1:22" x14ac:dyDescent="0.3">
      <c r="A9" s="10" t="s">
        <v>21</v>
      </c>
      <c r="B9" s="4" t="s">
        <v>30</v>
      </c>
      <c r="C9" s="9" t="s">
        <v>37</v>
      </c>
      <c r="D9" s="5">
        <v>37304</v>
      </c>
      <c r="E9" s="6">
        <f t="shared" ca="1" si="1"/>
        <v>33</v>
      </c>
      <c r="F9" s="6">
        <f t="shared" ca="1" si="1"/>
        <v>83</v>
      </c>
      <c r="G9" s="6">
        <f t="shared" ca="1" si="1"/>
        <v>94</v>
      </c>
      <c r="H9" s="6">
        <f t="shared" ca="1" si="1"/>
        <v>92</v>
      </c>
      <c r="I9" s="6">
        <f t="shared" ca="1" si="1"/>
        <v>81</v>
      </c>
      <c r="J9" s="6">
        <f t="shared" ca="1" si="2"/>
        <v>383</v>
      </c>
      <c r="K9" s="6">
        <f t="shared" ca="1" si="3"/>
        <v>76.599999999999994</v>
      </c>
      <c r="L9" s="11" t="str">
        <f t="shared" ca="1" si="0"/>
        <v>pass</v>
      </c>
      <c r="M9" s="3"/>
      <c r="N9" s="3"/>
      <c r="O9" s="3"/>
    </row>
    <row r="10" spans="1:22" x14ac:dyDescent="0.3">
      <c r="A10" s="10" t="s">
        <v>22</v>
      </c>
      <c r="B10" s="4" t="s">
        <v>30</v>
      </c>
      <c r="C10" s="9" t="s">
        <v>38</v>
      </c>
      <c r="D10" s="5">
        <v>37305</v>
      </c>
      <c r="E10" s="6">
        <f t="shared" ca="1" si="1"/>
        <v>71</v>
      </c>
      <c r="F10" s="6">
        <f t="shared" ca="1" si="1"/>
        <v>33</v>
      </c>
      <c r="G10" s="6">
        <f t="shared" ca="1" si="1"/>
        <v>93</v>
      </c>
      <c r="H10" s="6">
        <f t="shared" ca="1" si="1"/>
        <v>78</v>
      </c>
      <c r="I10" s="6">
        <f t="shared" ca="1" si="1"/>
        <v>75</v>
      </c>
      <c r="J10" s="6">
        <f t="shared" ca="1" si="2"/>
        <v>350</v>
      </c>
      <c r="K10" s="6">
        <f t="shared" ca="1" si="3"/>
        <v>70</v>
      </c>
      <c r="L10" s="11" t="str">
        <f t="shared" ca="1" si="0"/>
        <v>pass</v>
      </c>
      <c r="M10" s="3"/>
      <c r="N10" s="3"/>
      <c r="O10" s="3"/>
    </row>
    <row r="11" spans="1:22" x14ac:dyDescent="0.3">
      <c r="A11" s="10" t="s">
        <v>23</v>
      </c>
      <c r="B11" s="4" t="s">
        <v>31</v>
      </c>
      <c r="C11" s="9" t="s">
        <v>39</v>
      </c>
      <c r="D11" s="5">
        <v>37306</v>
      </c>
      <c r="E11" s="6">
        <f t="shared" ca="1" si="1"/>
        <v>89</v>
      </c>
      <c r="F11" s="6">
        <f t="shared" ca="1" si="1"/>
        <v>74</v>
      </c>
      <c r="G11" s="6">
        <f t="shared" ca="1" si="1"/>
        <v>63</v>
      </c>
      <c r="H11" s="6">
        <f t="shared" ca="1" si="1"/>
        <v>90</v>
      </c>
      <c r="I11" s="6">
        <f t="shared" ca="1" si="1"/>
        <v>96</v>
      </c>
      <c r="J11" s="6">
        <f t="shared" ca="1" si="2"/>
        <v>412</v>
      </c>
      <c r="K11" s="6">
        <f t="shared" ca="1" si="3"/>
        <v>82.4</v>
      </c>
      <c r="L11" s="11" t="str">
        <f t="shared" ca="1" si="0"/>
        <v>fail</v>
      </c>
      <c r="M11" s="3"/>
      <c r="N11" s="3"/>
      <c r="O11" s="3"/>
    </row>
    <row r="12" spans="1:22" x14ac:dyDescent="0.3">
      <c r="A12" s="10" t="s">
        <v>24</v>
      </c>
      <c r="B12" s="4" t="s">
        <v>30</v>
      </c>
      <c r="C12" s="9" t="s">
        <v>40</v>
      </c>
      <c r="D12" s="5">
        <v>37307</v>
      </c>
      <c r="E12" s="6">
        <f t="shared" ca="1" si="1"/>
        <v>45</v>
      </c>
      <c r="F12" s="6">
        <f t="shared" ca="1" si="1"/>
        <v>49</v>
      </c>
      <c r="G12" s="6">
        <f t="shared" ca="1" si="1"/>
        <v>46</v>
      </c>
      <c r="H12" s="6">
        <f t="shared" ca="1" si="1"/>
        <v>40</v>
      </c>
      <c r="I12" s="6">
        <f t="shared" ca="1" si="1"/>
        <v>84</v>
      </c>
      <c r="J12" s="6">
        <f t="shared" ca="1" si="2"/>
        <v>264</v>
      </c>
      <c r="K12" s="6">
        <f t="shared" ca="1" si="3"/>
        <v>52.8</v>
      </c>
      <c r="L12" s="11" t="str">
        <f t="shared" ca="1" si="0"/>
        <v>pass</v>
      </c>
      <c r="M12" s="3"/>
      <c r="N12" s="3"/>
      <c r="O12" s="3"/>
    </row>
    <row r="13" spans="1:22" x14ac:dyDescent="0.3">
      <c r="A13" s="10" t="s">
        <v>25</v>
      </c>
      <c r="B13" s="4" t="s">
        <v>30</v>
      </c>
      <c r="C13" s="9" t="s">
        <v>41</v>
      </c>
      <c r="D13" s="5">
        <v>37308</v>
      </c>
      <c r="E13" s="6">
        <f t="shared" ca="1" si="1"/>
        <v>50</v>
      </c>
      <c r="F13" s="6">
        <f t="shared" ca="1" si="1"/>
        <v>35</v>
      </c>
      <c r="G13" s="6">
        <f t="shared" ca="1" si="1"/>
        <v>34</v>
      </c>
      <c r="H13" s="6">
        <f t="shared" ca="1" si="1"/>
        <v>86</v>
      </c>
      <c r="I13" s="6">
        <f t="shared" ca="1" si="1"/>
        <v>74</v>
      </c>
      <c r="J13" s="6">
        <f t="shared" ca="1" si="2"/>
        <v>279</v>
      </c>
      <c r="K13" s="6">
        <f t="shared" ca="1" si="3"/>
        <v>55.8</v>
      </c>
      <c r="L13" s="11" t="str">
        <f t="shared" ca="1" si="0"/>
        <v>pass</v>
      </c>
      <c r="M13" s="3"/>
      <c r="N13" s="3"/>
      <c r="O13" s="3"/>
      <c r="P13" s="3" t="s">
        <v>57</v>
      </c>
      <c r="Q13" s="3"/>
    </row>
    <row r="14" spans="1:22" x14ac:dyDescent="0.3">
      <c r="A14" s="10" t="s">
        <v>26</v>
      </c>
      <c r="B14" s="4" t="s">
        <v>31</v>
      </c>
      <c r="C14" s="9" t="s">
        <v>42</v>
      </c>
      <c r="D14" s="5">
        <v>37309</v>
      </c>
      <c r="E14" s="6">
        <f t="shared" ca="1" si="1"/>
        <v>79</v>
      </c>
      <c r="F14" s="6">
        <f t="shared" ca="1" si="1"/>
        <v>94</v>
      </c>
      <c r="G14" s="6">
        <f t="shared" ca="1" si="1"/>
        <v>39</v>
      </c>
      <c r="H14" s="6">
        <f t="shared" ca="1" si="1"/>
        <v>46</v>
      </c>
      <c r="I14" s="6">
        <f t="shared" ca="1" si="1"/>
        <v>71</v>
      </c>
      <c r="J14" s="6">
        <f t="shared" ca="1" si="2"/>
        <v>329</v>
      </c>
      <c r="K14" s="6">
        <f t="shared" ca="1" si="3"/>
        <v>65.8</v>
      </c>
      <c r="L14" s="11" t="str">
        <f t="shared" ca="1" si="0"/>
        <v>pass</v>
      </c>
      <c r="M14" s="3"/>
      <c r="N14" s="3" t="s">
        <v>56</v>
      </c>
      <c r="O14" s="3"/>
    </row>
    <row r="15" spans="1:22" x14ac:dyDescent="0.3">
      <c r="A15" s="10" t="s">
        <v>27</v>
      </c>
      <c r="B15" s="4" t="s">
        <v>30</v>
      </c>
      <c r="C15" s="9" t="s">
        <v>43</v>
      </c>
      <c r="D15" s="5">
        <v>37310</v>
      </c>
      <c r="E15" s="6">
        <f t="shared" ca="1" si="1"/>
        <v>38</v>
      </c>
      <c r="F15" s="6">
        <f t="shared" ca="1" si="1"/>
        <v>84</v>
      </c>
      <c r="G15" s="6">
        <f t="shared" ca="1" si="1"/>
        <v>88</v>
      </c>
      <c r="H15" s="6">
        <f t="shared" ca="1" si="1"/>
        <v>84</v>
      </c>
      <c r="I15" s="6">
        <f t="shared" ca="1" si="1"/>
        <v>52</v>
      </c>
      <c r="J15" s="6">
        <f t="shared" ca="1" si="2"/>
        <v>346</v>
      </c>
      <c r="K15" s="6">
        <f t="shared" ca="1" si="3"/>
        <v>69.2</v>
      </c>
      <c r="L15" s="11" t="str">
        <f t="shared" ca="1" si="0"/>
        <v>pass</v>
      </c>
      <c r="M15" s="3"/>
      <c r="N15" s="3"/>
      <c r="O15" s="3"/>
    </row>
    <row r="16" spans="1:22" x14ac:dyDescent="0.3">
      <c r="A16" s="10" t="s">
        <v>28</v>
      </c>
      <c r="B16" s="4" t="s">
        <v>31</v>
      </c>
      <c r="C16" s="9" t="s">
        <v>44</v>
      </c>
      <c r="D16" s="5">
        <v>37311</v>
      </c>
      <c r="E16" s="6">
        <f t="shared" ca="1" si="1"/>
        <v>40</v>
      </c>
      <c r="F16" s="6">
        <f t="shared" ca="1" si="1"/>
        <v>72</v>
      </c>
      <c r="G16" s="6">
        <f t="shared" ca="1" si="1"/>
        <v>97</v>
      </c>
      <c r="H16" s="6">
        <f t="shared" ca="1" si="1"/>
        <v>80</v>
      </c>
      <c r="I16" s="6">
        <f t="shared" ca="1" si="1"/>
        <v>85</v>
      </c>
      <c r="J16" s="6">
        <f t="shared" ca="1" si="2"/>
        <v>374</v>
      </c>
      <c r="K16" s="6">
        <f t="shared" ca="1" si="3"/>
        <v>74.8</v>
      </c>
      <c r="L16" s="11" t="str">
        <f t="shared" ca="1" si="0"/>
        <v>pass</v>
      </c>
      <c r="M16" s="3"/>
      <c r="N16" s="3"/>
      <c r="O16" s="3"/>
    </row>
    <row r="17" spans="1:17" ht="11.4" customHeight="1" x14ac:dyDescent="0.3">
      <c r="A17" s="10" t="s">
        <v>29</v>
      </c>
      <c r="B17" s="4" t="s">
        <v>30</v>
      </c>
      <c r="C17" s="9" t="s">
        <v>45</v>
      </c>
      <c r="D17" s="5">
        <v>37312</v>
      </c>
      <c r="E17" s="6">
        <f t="shared" ca="1" si="1"/>
        <v>94</v>
      </c>
      <c r="F17" s="6">
        <f t="shared" ca="1" si="1"/>
        <v>94</v>
      </c>
      <c r="G17" s="6">
        <f t="shared" ca="1" si="1"/>
        <v>71</v>
      </c>
      <c r="H17" s="6">
        <f t="shared" ca="1" si="1"/>
        <v>55</v>
      </c>
      <c r="I17" s="6">
        <f t="shared" ca="1" si="1"/>
        <v>79</v>
      </c>
      <c r="J17" s="6">
        <f t="shared" ca="1" si="2"/>
        <v>393</v>
      </c>
      <c r="K17" s="6">
        <f t="shared" ca="1" si="3"/>
        <v>78.599999999999994</v>
      </c>
      <c r="L17" s="11" t="str">
        <f t="shared" ca="1" si="0"/>
        <v>pass</v>
      </c>
      <c r="M17" s="7"/>
      <c r="N17" s="7"/>
      <c r="O17" s="7"/>
      <c r="Q17" s="16"/>
    </row>
    <row r="18" spans="1:17" x14ac:dyDescent="0.3">
      <c r="A18" s="7"/>
      <c r="B18" s="7"/>
      <c r="C18" s="7"/>
      <c r="D18" s="7"/>
      <c r="E18" s="6">
        <f t="shared" ca="1" si="1"/>
        <v>45</v>
      </c>
      <c r="F18" s="6">
        <f t="shared" ca="1" si="1"/>
        <v>50</v>
      </c>
      <c r="G18" s="6">
        <f t="shared" ca="1" si="1"/>
        <v>34</v>
      </c>
      <c r="H18" s="6">
        <f t="shared" ca="1" si="1"/>
        <v>83</v>
      </c>
      <c r="I18" s="6">
        <f t="shared" ca="1" si="1"/>
        <v>91</v>
      </c>
      <c r="J18" s="6">
        <f t="shared" ca="1" si="2"/>
        <v>303</v>
      </c>
      <c r="K18" s="6">
        <f t="shared" ca="1" si="3"/>
        <v>60.6</v>
      </c>
      <c r="L18" s="11"/>
      <c r="M18" s="7"/>
      <c r="N18" s="7"/>
      <c r="O18" s="7"/>
    </row>
    <row r="19" spans="1:17" x14ac:dyDescent="0.3">
      <c r="A19" s="1"/>
      <c r="B19" s="1"/>
      <c r="C19" s="3" t="s">
        <v>62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7" x14ac:dyDescent="0.3">
      <c r="D21" s="3" t="s">
        <v>59</v>
      </c>
      <c r="J21" s="3" t="s">
        <v>61</v>
      </c>
    </row>
    <row r="22" spans="1:17" x14ac:dyDescent="0.3">
      <c r="G22" s="3" t="s">
        <v>58</v>
      </c>
      <c r="M22" s="18"/>
    </row>
    <row r="25" spans="1:17" x14ac:dyDescent="0.3">
      <c r="B25" s="3" t="s">
        <v>63</v>
      </c>
      <c r="K25" s="3" t="s">
        <v>65</v>
      </c>
    </row>
    <row r="27" spans="1:17" x14ac:dyDescent="0.3">
      <c r="F27" s="3" t="s">
        <v>64</v>
      </c>
      <c r="G27" s="15"/>
    </row>
    <row r="28" spans="1:17" x14ac:dyDescent="0.3">
      <c r="I28" s="13" t="s">
        <v>60</v>
      </c>
    </row>
    <row r="31" spans="1:17" ht="28.8" x14ac:dyDescent="0.3">
      <c r="A31" s="17" t="s">
        <v>66</v>
      </c>
      <c r="C31" s="3"/>
    </row>
  </sheetData>
  <mergeCells count="1">
    <mergeCell ref="A1:O2"/>
  </mergeCells>
  <conditionalFormatting sqref="A4:A1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{591A356D-B6A5-47CC-8FA2-B5F1CF62B348}</x14:id>
        </ext>
      </extLst>
    </cfRule>
  </conditionalFormatting>
  <conditionalFormatting sqref="A4:A1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{C0D8F458-3B90-4B5E-8E85-E7B32BCEA6C0}</x14:id>
        </ext>
      </extLst>
    </cfRule>
  </conditionalFormatting>
  <conditionalFormatting sqref="C4:C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{3D01D013-E936-4E08-8302-941868A63AE5}</x14:id>
        </ext>
      </extLst>
    </cfRule>
  </conditionalFormatting>
  <conditionalFormatting sqref="D4:D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{EE1A38D2-8F01-4A25-8B8E-D4C735CFC5A8}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1A356D-B6A5-47CC-8FA2-B5F1CF62B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A4:A17</xm:sqref>
        </x14:conditionalFormatting>
        <x14:conditionalFormatting xmlns:xm="http://schemas.microsoft.com/office/excel/2006/main">
          <x14:cfRule type="dataBar" id="{C0D8F458-3B90-4B5E-8E85-E7B32BCEA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A4:A18</xm:sqref>
        </x14:conditionalFormatting>
        <x14:conditionalFormatting xmlns:xm="http://schemas.microsoft.com/office/excel/2006/main">
          <x14:cfRule type="dataBar" id="{3D01D013-E936-4E08-8302-941868A63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C4:C17</xm:sqref>
        </x14:conditionalFormatting>
        <x14:conditionalFormatting xmlns:xm="http://schemas.microsoft.com/office/excel/2006/main">
          <x14:cfRule type="dataBar" id="{EE1A38D2-8F01-4A25-8B8E-D4C735CFC5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KUMARI</dc:creator>
  <cp:lastModifiedBy>NIKITA KUMARI</cp:lastModifiedBy>
  <dcterms:created xsi:type="dcterms:W3CDTF">2025-09-14T06:31:25Z</dcterms:created>
  <dcterms:modified xsi:type="dcterms:W3CDTF">2025-09-14T08:55:24Z</dcterms:modified>
</cp:coreProperties>
</file>